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(P&amp;L)" sheetId="1" state="visible" r:id="rId1"/>
    <sheet name="Серверы" sheetId="2" state="visible" r:id="rId2"/>
    <sheet name="Расходы" sheetId="3" state="visible" r:id="rId3"/>
    <sheet name="Доход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64748B"/>
      <sz val="9"/>
    </font>
    <font>
      <name val="Arial"/>
      <b val="1"/>
      <color rgb="001E293B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47857"/>
      <sz val="10"/>
    </font>
    <font>
      <name val="Arial"/>
      <b val="1"/>
      <color rgb="00B91C1C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37" customWidth="1" min="3" max="3"/>
    <col width="25" customWidth="1" min="4" max="4"/>
    <col width="31" customWidth="1" min="5" max="5"/>
    <col width="34" customWidth="1" min="6" max="6"/>
    <col width="35" customWidth="1" min="7" max="7"/>
  </cols>
  <sheetData>
    <row r="1" ht="40" customHeight="1">
      <c r="A1" s="1" t="inlineStr">
        <is>
          <t>ФИНАНСОВЫЙ ДАШБОРД VPN ПРОЕКТА</t>
        </is>
      </c>
    </row>
    <row r="2"/>
    <row r="3" ht="20" customHeight="1">
      <c r="B3" s="2" t="inlineStr">
        <is>
          <t>Общие инвестиции (CAPEX)</t>
        </is>
      </c>
      <c r="C3" s="2" t="inlineStr">
        <is>
          <t>Ежемесячный OPEX (Серверы)</t>
        </is>
      </c>
      <c r="D3" s="2" t="inlineStr">
        <is>
          <t>Текущий доход (MRR)</t>
        </is>
      </c>
      <c r="E3" s="2" t="inlineStr">
        <is>
          <t>Чистая прибыль (Net Profit)</t>
        </is>
      </c>
      <c r="F3" s="2" t="inlineStr">
        <is>
          <t>Платных подписчиков</t>
        </is>
      </c>
    </row>
    <row r="4" ht="28" customHeight="1">
      <c r="B4" s="3">
        <f>SUM('Расходы'!E3:E20)</f>
        <v/>
      </c>
      <c r="C4" s="3">
        <f>SUM('Серверы'!E3:E10)</f>
        <v/>
      </c>
      <c r="D4" s="3">
        <f>SUM('Доходы'!F3:F50)</f>
        <v/>
      </c>
      <c r="E4" s="3">
        <f>D4-C4</f>
        <v/>
      </c>
      <c r="F4" s="3">
        <f>COUNT('Доходы'!A3:A50)</f>
        <v/>
      </c>
    </row>
    <row r="5"/>
    <row r="6"/>
    <row r="7" ht="25" customHeight="1">
      <c r="A7" s="4" t="inlineStr">
        <is>
          <t>ПЛАН ОКУПАЕМОСТИ СЕРВЕРА (1 300 ₽ / МЕС)</t>
        </is>
      </c>
    </row>
    <row r="8">
      <c r="A8" s="5" t="inlineStr">
        <is>
          <t>План подписки</t>
        </is>
      </c>
      <c r="B8" s="5" t="inlineStr">
        <is>
          <t>Цена</t>
        </is>
      </c>
      <c r="C8" s="5" t="inlineStr">
        <is>
          <t>Нужно подписчиков для окупаемости</t>
        </is>
      </c>
      <c r="D8" s="5" t="inlineStr">
        <is>
          <t>Себестоимость 1 юзера</t>
        </is>
      </c>
      <c r="E8" s="5" t="inlineStr">
        <is>
          <t>Маржа с юзера</t>
        </is>
      </c>
      <c r="F8" s="5" t="inlineStr">
        <is>
          <t>Чистая прибыль (при 50 юзерах)</t>
        </is>
      </c>
      <c r="G8" s="5" t="inlineStr">
        <is>
          <t>Чистая прибыль (при 200 юзерах)</t>
        </is>
      </c>
    </row>
    <row r="9" ht="22" customHeight="1">
      <c r="A9" s="6" t="inlineStr">
        <is>
          <t>Месячный Standard</t>
        </is>
      </c>
      <c r="B9" s="6" t="n">
        <v>299</v>
      </c>
      <c r="C9" s="6">
        <f>ROUNDUP(1300/B9, 0)</f>
        <v/>
      </c>
      <c r="D9" s="6" t="n">
        <v>35</v>
      </c>
      <c r="E9" s="6">
        <f>B9-D9</f>
        <v/>
      </c>
      <c r="F9" s="6">
        <f>(B9-D9)*50 - 1300</f>
        <v/>
      </c>
      <c r="G9" s="6">
        <f>(B9-D9)*200 - 1300</f>
        <v/>
      </c>
    </row>
    <row r="10" ht="22" customHeight="1">
      <c r="A10" s="6" t="inlineStr">
        <is>
          <t>Годовой Family (в пересчете)</t>
        </is>
      </c>
      <c r="B10" s="6" t="n">
        <v>199</v>
      </c>
      <c r="C10" s="6">
        <f>ROUNDUP(1300/B10, 0)</f>
        <v/>
      </c>
      <c r="D10" s="6" t="n">
        <v>25</v>
      </c>
      <c r="E10" s="6">
        <f>B10-D10</f>
        <v/>
      </c>
      <c r="F10" s="6">
        <f>(B10-D10)*50 - 1300</f>
        <v/>
      </c>
      <c r="G10" s="6">
        <f>(B10-D10)*200 - 1300</f>
        <v/>
      </c>
    </row>
    <row r="11" ht="22" customHeight="1">
      <c r="A11" s="6" t="inlineStr">
        <is>
          <t>Турбо 4K Premium</t>
        </is>
      </c>
      <c r="B11" s="6" t="n">
        <v>399</v>
      </c>
      <c r="C11" s="6">
        <f>ROUNDUP(1300/B11, 0)</f>
        <v/>
      </c>
      <c r="D11" s="6" t="n">
        <v>45</v>
      </c>
      <c r="E11" s="6">
        <f>B11-D11</f>
        <v/>
      </c>
      <c r="F11" s="6">
        <f>(B11-D11)*50 - 1300</f>
        <v/>
      </c>
      <c r="G11" s="6">
        <f>(B11-D11)*200 - 1300</f>
        <v/>
      </c>
    </row>
  </sheetData>
  <mergeCells count="2"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42" customWidth="1" min="3" max="3"/>
    <col width="17" customWidth="1" min="4" max="4"/>
    <col width="16" customWidth="1" min="5" max="5"/>
    <col width="15" customWidth="1" min="6" max="6"/>
    <col width="18" customWidth="1" min="7" max="7"/>
    <col width="43" customWidth="1" min="8" max="8"/>
  </cols>
  <sheetData>
    <row r="1" ht="35" customHeight="1">
      <c r="A1" s="1" t="inlineStr">
        <is>
          <t>РЕЕСТР СЕРВЕРОВ И НОД VPN</t>
        </is>
      </c>
    </row>
    <row r="2"/>
    <row r="3" ht="25" customHeight="1">
      <c r="A3" s="7" t="inlineStr">
        <is>
          <t>ID</t>
        </is>
      </c>
      <c r="B3" s="7" t="inlineStr">
        <is>
          <t>Локация</t>
        </is>
      </c>
      <c r="C3" s="7" t="inlineStr">
        <is>
          <t>Параметры (CPU / RAM / SSD)</t>
        </is>
      </c>
      <c r="D3" s="7" t="inlineStr">
        <is>
          <t>Канал (Порт)</t>
        </is>
      </c>
      <c r="E3" s="7" t="inlineStr">
        <is>
          <t>Цена (₽/мес)</t>
        </is>
      </c>
      <c r="F3" s="7" t="inlineStr">
        <is>
          <t>Дата заказа</t>
        </is>
      </c>
      <c r="G3" s="7" t="inlineStr">
        <is>
          <t>Статус</t>
        </is>
      </c>
      <c r="H3" s="7" t="inlineStr">
        <is>
          <t>Назначение / Протокол</t>
        </is>
      </c>
    </row>
    <row r="4" ht="22" customHeight="1">
      <c r="A4" s="6" t="inlineStr">
        <is>
          <t>SRV-01</t>
        </is>
      </c>
      <c r="B4" s="6" t="inlineStr">
        <is>
          <t>🇳🇱 Нидерланды</t>
        </is>
      </c>
      <c r="C4" s="8" t="inlineStr">
        <is>
          <t>1x 3.3 ГГц CPU • 1 ГБ RAM • 15 ГБ NVMe</t>
        </is>
      </c>
      <c r="D4" s="6" t="inlineStr">
        <is>
          <t>1000 Мбит/сек</t>
        </is>
      </c>
      <c r="E4" s="6" t="n">
        <v>1300</v>
      </c>
      <c r="F4" s="6" t="inlineStr">
        <is>
          <t>2026-08-30</t>
        </is>
      </c>
      <c r="G4" s="9" t="inlineStr">
        <is>
          <t>Активен (Тест)</t>
        </is>
      </c>
      <c r="H4" s="8" t="inlineStr">
        <is>
          <t>VLESS Reality + Hysteria 2 (Edge Relay)</t>
        </is>
      </c>
    </row>
    <row r="5" ht="22" customHeight="1">
      <c r="A5" s="6" t="inlineStr">
        <is>
          <t>SRV-02</t>
        </is>
      </c>
      <c r="B5" s="6" t="inlineStr">
        <is>
          <t>🇩🇪 Германия (План)</t>
        </is>
      </c>
      <c r="C5" s="8" t="inlineStr">
        <is>
          <t>2x CPU • 2 ГБ RAM • 30 ГБ NVMe</t>
        </is>
      </c>
      <c r="D5" s="6" t="inlineStr">
        <is>
          <t>1000 Мбит/сек</t>
        </is>
      </c>
      <c r="E5" s="6" t="n">
        <v>0</v>
      </c>
      <c r="F5" s="6" t="inlineStr">
        <is>
          <t>-</t>
        </is>
      </c>
      <c r="G5" s="6" t="inlineStr">
        <is>
          <t>В плане</t>
        </is>
      </c>
      <c r="H5" s="8" t="inlineStr">
        <is>
          <t>Core Exit Node (Frankfurt)</t>
        </is>
      </c>
    </row>
    <row r="6" ht="22" customHeight="1">
      <c r="A6" s="6" t="inlineStr">
        <is>
          <t>SRV-03</t>
        </is>
      </c>
      <c r="B6" s="6" t="inlineStr">
        <is>
          <t>🇫🇮 Финляндия (План)</t>
        </is>
      </c>
      <c r="C6" s="8" t="inlineStr">
        <is>
          <t>1x CPU • 1 ГБ RAM • 20 ГБ SSD</t>
        </is>
      </c>
      <c r="D6" s="6" t="inlineStr">
        <is>
          <t>1000 Мбит/сек</t>
        </is>
      </c>
      <c r="E6" s="6" t="n">
        <v>0</v>
      </c>
      <c r="F6" s="6" t="inlineStr">
        <is>
          <t>-</t>
        </is>
      </c>
      <c r="G6" s="6" t="inlineStr">
        <is>
          <t>В плане</t>
        </is>
      </c>
      <c r="H6" s="8" t="inlineStr">
        <is>
          <t>Core Node (Helsinki - Low Ping)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9" customWidth="1" min="3" max="3"/>
    <col width="12" customWidth="1" min="4" max="4"/>
    <col width="13" customWidth="1" min="5" max="5"/>
    <col width="38" customWidth="1" min="6" max="6"/>
  </cols>
  <sheetData>
    <row r="1" ht="35" customHeight="1">
      <c r="A1" s="1" t="inlineStr">
        <is>
          <t>ЖУРНАЛ РАСХОДОВ (CAPEX &amp; OPEX)</t>
        </is>
      </c>
    </row>
    <row r="2"/>
    <row r="3">
      <c r="A3" s="7" t="inlineStr">
        <is>
          <t>Дата</t>
        </is>
      </c>
      <c r="B3" s="7" t="inlineStr">
        <is>
          <t>Категория</t>
        </is>
      </c>
      <c r="C3" s="7" t="inlineStr">
        <is>
          <t>Наименование расхода</t>
        </is>
      </c>
      <c r="D3" s="7" t="inlineStr">
        <is>
          <t>Тип</t>
        </is>
      </c>
      <c r="E3" s="7" t="inlineStr">
        <is>
          <t>Сумма (₽)</t>
        </is>
      </c>
      <c r="F3" s="7" t="inlineStr">
        <is>
          <t>Комментарий / Поставщик</t>
        </is>
      </c>
    </row>
    <row r="4" ht="20" customHeight="1">
      <c r="A4" s="6" t="inlineStr">
        <is>
          <t>2026-08-30</t>
        </is>
      </c>
      <c r="B4" s="6" t="inlineStr">
        <is>
          <t>Серверы</t>
        </is>
      </c>
      <c r="C4" s="8" t="inlineStr">
        <is>
          <t>Аренда VPS Нидерланды 1Gbps (1 мес)</t>
        </is>
      </c>
      <c r="D4" s="6" t="inlineStr">
        <is>
          <t>OPEX</t>
        </is>
      </c>
      <c r="E4" s="10" t="n">
        <v>1300</v>
      </c>
      <c r="F4" s="8" t="inlineStr">
        <is>
          <t>Первая тестовая нода VLESS Reality</t>
        </is>
      </c>
    </row>
    <row r="5" ht="20" customHeight="1">
      <c r="A5" s="6" t="inlineStr">
        <is>
          <t>2026-08-30</t>
        </is>
      </c>
      <c r="B5" s="6" t="inlineStr">
        <is>
          <t>Домены / DNS</t>
        </is>
      </c>
      <c r="C5" s="8" t="inlineStr">
        <is>
          <t>Покупка доменов маскировки SNI</t>
        </is>
      </c>
      <c r="D5" s="6" t="inlineStr">
        <is>
          <t>CAPEX</t>
        </is>
      </c>
      <c r="E5" s="10" t="n">
        <v>0</v>
      </c>
      <c r="F5" s="8" t="inlineStr">
        <is>
          <t>Запланировано</t>
        </is>
      </c>
    </row>
    <row r="6" ht="20" customHeight="1">
      <c r="A6" s="6" t="inlineStr">
        <is>
          <t>2026-08-30</t>
        </is>
      </c>
      <c r="B6" s="6" t="inlineStr">
        <is>
          <t>Сторы</t>
        </is>
      </c>
      <c r="C6" s="8" t="inlineStr">
        <is>
          <t>Apple Developer Program ($99)</t>
        </is>
      </c>
      <c r="D6" s="6" t="inlineStr">
        <is>
          <t>CAPEX</t>
        </is>
      </c>
      <c r="E6" s="10" t="n">
        <v>0</v>
      </c>
      <c r="F6" s="8" t="inlineStr">
        <is>
          <t>Перед релизом iOS</t>
        </is>
      </c>
    </row>
    <row r="7" ht="20" customHeight="1">
      <c r="A7" s="6" t="inlineStr">
        <is>
          <t>2026-08-30</t>
        </is>
      </c>
      <c r="B7" s="6" t="inlineStr">
        <is>
          <t>Сторы</t>
        </is>
      </c>
      <c r="C7" s="8" t="inlineStr">
        <is>
          <t>Google Play Console ($25)</t>
        </is>
      </c>
      <c r="D7" s="6" t="inlineStr">
        <is>
          <t>CAPEX</t>
        </is>
      </c>
      <c r="E7" s="10" t="n">
        <v>0</v>
      </c>
      <c r="F7" s="8" t="inlineStr">
        <is>
          <t>Перед релизом Android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21" customWidth="1" min="3" max="3"/>
    <col width="12" customWidth="1" min="4" max="4"/>
    <col width="17" customWidth="1" min="5" max="5"/>
    <col width="13" customWidth="1" min="6" max="6"/>
    <col width="12" customWidth="1" min="7" max="7"/>
  </cols>
  <sheetData>
    <row r="1" ht="35" customHeight="1">
      <c r="A1" s="1" t="inlineStr">
        <is>
          <t>ЖУРНАЛ ДОХОДОВ (ПОДПИСКИ)</t>
        </is>
      </c>
    </row>
    <row r="2"/>
    <row r="3">
      <c r="A3" s="7" t="inlineStr">
        <is>
          <t>ID Транзакции</t>
        </is>
      </c>
      <c r="B3" s="7" t="inlineStr">
        <is>
          <t>Дата</t>
        </is>
      </c>
      <c r="C3" s="7" t="inlineStr">
        <is>
          <t>Пользователь (ID)</t>
        </is>
      </c>
      <c r="D3" s="7" t="inlineStr">
        <is>
          <t>Тариф</t>
        </is>
      </c>
      <c r="E3" s="7" t="inlineStr">
        <is>
          <t>Способ оплаты</t>
        </is>
      </c>
      <c r="F3" s="7" t="inlineStr">
        <is>
          <t>Сумма (₽)</t>
        </is>
      </c>
      <c r="G3" s="7" t="inlineStr">
        <is>
          <t>Статус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2026-08-30T08:32:19Z</dcterms:created>
  <dcterms:modified xsi:type="dcterms:W3CDTF">2026-08-30T08:32:19Z</dcterms:modified>
</cp:coreProperties>
</file>